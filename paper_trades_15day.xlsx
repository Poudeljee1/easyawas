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&quot;$&quot;#,##0.00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i val="1"/>
      <color rgb="00595959"/>
      <sz val="9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165" fontId="0" fillId="3" borderId="0" applyAlignment="1" pivotButton="0" quotePrefix="0" xfId="0">
      <alignment horizontal="right"/>
    </xf>
    <xf numFmtId="166" fontId="0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3" customWidth="1" min="4" max="4"/>
    <col width="8" customWidth="1" min="5" max="5"/>
    <col width="18" customWidth="1" min="6" max="6"/>
    <col width="11" customWidth="1" min="7" max="7"/>
    <col width="13" customWidth="1" min="8" max="8"/>
    <col width="18" customWidth="1" min="9" max="9"/>
    <col width="14" customWidth="1" min="10" max="10"/>
    <col width="12" customWidth="1" min="11" max="11"/>
  </cols>
  <sheetData>
    <row r="1" ht="20" customHeight="1">
      <c r="A1" s="1" t="inlineStr">
        <is>
          <t>Date</t>
        </is>
      </c>
      <c r="B1" s="1" t="inlineStr">
        <is>
          <t>Ticker</t>
        </is>
      </c>
      <c r="C1" s="1" t="inlineStr">
        <is>
          <t>Entry Price</t>
        </is>
      </c>
      <c r="D1" s="1" t="inlineStr">
        <is>
          <t>Exit Price</t>
        </is>
      </c>
      <c r="E1" s="1" t="inlineStr">
        <is>
          <t>Shares</t>
        </is>
      </c>
      <c r="F1" s="1" t="inlineStr">
        <is>
          <t>Position Size ($)</t>
        </is>
      </c>
      <c r="G1" s="1" t="inlineStr">
        <is>
          <t>P&amp;L ($)</t>
        </is>
      </c>
      <c r="H1" s="1" t="inlineStr">
        <is>
          <t>Return (%)</t>
        </is>
      </c>
      <c r="I1" s="1" t="inlineStr">
        <is>
          <t>Hold Time (mins, total)</t>
        </is>
      </c>
      <c r="J1" s="1" t="inlineStr">
        <is>
          <t>Result</t>
        </is>
      </c>
      <c r="K1" s="1" t="inlineStr">
        <is>
          <t>Exit 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2" t="inlineStr">
        <is>
          <t>TJL Paper Trading — 15-Day Summary</t>
        </is>
      </c>
    </row>
    <row r="2">
      <c r="A2" s="3" t="inlineStr">
        <is>
          <t>Note: positions carry overnight/weekend until TP (+3%) or SL (-1.5%) is hit. Hold time includes all calendar minutes from entry to exit.</t>
        </is>
      </c>
    </row>
    <row r="4">
      <c r="A4" s="4" t="inlineStr">
        <is>
          <t>Total Trades</t>
        </is>
      </c>
      <c r="B4" s="5">
        <f>COUNTA('Trade Log'!B2:B50000)</f>
        <v/>
      </c>
    </row>
    <row r="5">
      <c r="A5" s="4" t="inlineStr">
        <is>
          <t>Win Rate %</t>
        </is>
      </c>
      <c r="B5" s="6">
        <f>IFERROR(COUNTIF('Trade Log'!J2:J50000,"WIN")/COUNTA('Trade Log'!J2:J50000)*100,0)</f>
        <v/>
      </c>
    </row>
    <row r="6">
      <c r="A6" s="4" t="inlineStr">
        <is>
          <t>Total P&amp;L ($)</t>
        </is>
      </c>
      <c r="B6" s="7">
        <f>SUM('Trade Log'!G2:G50000)</f>
        <v/>
      </c>
    </row>
    <row r="7">
      <c r="A7" s="4" t="inlineStr">
        <is>
          <t>Avg Return per Trade (%)</t>
        </is>
      </c>
      <c r="B7" s="6">
        <f>IFERROR(AVERAGE('Trade Log'!H2:H50000),0)</f>
        <v/>
      </c>
    </row>
    <row r="8">
      <c r="A8" s="4" t="inlineStr">
        <is>
          <t>Avg Hold Time (mins)</t>
        </is>
      </c>
      <c r="B8" s="8">
        <f>IFERROR(AVERAGE('Trade Log'!I2:I50000),0)</f>
        <v/>
      </c>
    </row>
    <row r="9">
      <c r="A9" s="4" t="inlineStr">
        <is>
          <t>Wins (TP hit)</t>
        </is>
      </c>
      <c r="B9" s="5">
        <f>COUNTIF('Trade Log'!J2:J50000,"WIN")</f>
        <v/>
      </c>
    </row>
    <row r="10">
      <c r="A10" s="4" t="inlineStr">
        <is>
          <t>Losses (SL hit)</t>
        </is>
      </c>
      <c r="B10" s="5">
        <f>COUNTIF('Trade Log'!J2:J50000,"LOSS")</f>
        <v/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2026-06-09T15:16:12Z</dcterms:created>
  <dcterms:modified xsi:type="dcterms:W3CDTF">2026-06-09T15:16:12Z</dcterms:modified>
</cp:coreProperties>
</file>